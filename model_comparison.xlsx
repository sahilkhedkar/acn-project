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Comparis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<sst xmlns="http://schemas.openxmlformats.org/spreadsheetml/2006/main" count="52" uniqueCount="24">
  <si>
    <t xml:space="preserve">CICIDS2017 (Tue + Wed + Thu-Morning) - all 15 runs</t>
  </si>
  <si>
    <t xml:space="preserve">Blue = values taken from each script's printed output (.log files). Metrics are on the test split.</t>
  </si>
  <si>
    <t xml:space="preserve">Algorithm</t>
  </si>
  <si>
    <t xml:space="preserve">Test size</t>
  </si>
  <si>
    <t xml:space="preserve">Accuracy</t>
  </si>
  <si>
    <t xml:space="preserve">Precision (weighted)</t>
  </si>
  <si>
    <t xml:space="preserve">Recall (weighted)</t>
  </si>
  <si>
    <t xml:space="preserve">F1 (weighted)</t>
  </si>
  <si>
    <t xml:space="preserve">Precision (macro)</t>
  </si>
  <si>
    <t xml:space="preserve">Recall (macro)</t>
  </si>
  <si>
    <t xml:space="preserve">F1 (macro)</t>
  </si>
  <si>
    <t xml:space="preserve">Decision Tree</t>
  </si>
  <si>
    <t xml:space="preserve">Linear Discriminant Analysis</t>
  </si>
  <si>
    <t xml:space="preserve">Logistic Regression</t>
  </si>
  <si>
    <t xml:space="preserve">Gaussian Naive Bayes</t>
  </si>
  <si>
    <t xml:space="preserve">Random Forest</t>
  </si>
  <si>
    <t xml:space="preserve">Note: weighted recall always equals accuracy (mathematical identity), so it matches column C. Macro averages treat every class equally, so rare attack classes pull them down.</t>
  </si>
  <si>
    <t xml:space="preserve">Average across the 3 splits (30%, 50%, 70% test) - one row per algorithm</t>
  </si>
  <si>
    <t xml:space="preserve">Weighted averages (dominated by the large BENIGN class)</t>
  </si>
  <si>
    <t xml:space="preserve">Precision</t>
  </si>
  <si>
    <t xml:space="preserve">Recall</t>
  </si>
  <si>
    <t xml:space="preserve">F1</t>
  </si>
  <si>
    <t xml:space="preserve">Best algorithm</t>
  </si>
  <si>
    <t xml:space="preserve">Macro averages (every class counts equally - better for rare attacks)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</si>
</sst>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Weighted metrics by algorithm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Comparison!B4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Comparison!$A$5:$A$9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Logistic Regression</c:v>
                </c:pt>
                <c:pt idx="3">
                  <c:v>Linear Discriminant Analysis</c:v>
                </c:pt>
                <c:pt idx="4">
                  <c:v>Gaussian Naive Bayes</c:v>
                </c:pt>
              </c:strCache>
            </c:strRef>
          </c:cat>
          <c:val>
            <c:numRef>
              <c:f>Comparison!$B$5:$B$9</c:f>
              <c:numCache>
                <c:formatCode>0.0000</c:formatCode>
                <c:ptCount val="5"/>
                <c:pt idx="0">
                  <c:v>0.998966666666667</c:v>
                </c:pt>
                <c:pt idx="1">
                  <c:v>0.9989</c:v>
                </c:pt>
                <c:pt idx="2">
                  <c:v>0.981633333333333</c:v>
                </c:pt>
                <c:pt idx="3">
                  <c:v>0.907333333333333</c:v>
                </c:pt>
                <c:pt idx="4">
                  <c:v>0.3003</c:v>
                </c:pt>
              </c:numCache>
            </c:numRef>
          </c:val>
        </c:ser>
        <c:ser>
          <c:idx val="1"/>
          <c:order val="1"/>
          <c:tx>
            <c:strRef>
              <c:f>Comparison!C4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Comparison!$A$5:$A$9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Logistic Regression</c:v>
                </c:pt>
                <c:pt idx="3">
                  <c:v>Linear Discriminant Analysis</c:v>
                </c:pt>
                <c:pt idx="4">
                  <c:v>Gaussian Naive Bayes</c:v>
                </c:pt>
              </c:strCache>
            </c:strRef>
          </c:cat>
          <c:val>
            <c:numRef>
              <c:f>Comparison!$C$5:$C$9</c:f>
              <c:numCache>
                <c:formatCode>0.0000</c:formatCode>
                <c:ptCount val="5"/>
                <c:pt idx="0">
                  <c:v>0.998966666666667</c:v>
                </c:pt>
                <c:pt idx="1">
                  <c:v>0.998833333333333</c:v>
                </c:pt>
                <c:pt idx="2">
                  <c:v>0.980366666666667</c:v>
                </c:pt>
                <c:pt idx="3">
                  <c:v>0.942233333333333</c:v>
                </c:pt>
                <c:pt idx="4">
                  <c:v>0.930866666666667</c:v>
                </c:pt>
              </c:numCache>
            </c:numRef>
          </c:val>
        </c:ser>
        <c:ser>
          <c:idx val="2"/>
          <c:order val="2"/>
          <c:tx>
            <c:strRef>
              <c:f>Comparison!D4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Comparison!$A$5:$A$9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Logistic Regression</c:v>
                </c:pt>
                <c:pt idx="3">
                  <c:v>Linear Discriminant Analysis</c:v>
                </c:pt>
                <c:pt idx="4">
                  <c:v>Gaussian Naive Bayes</c:v>
                </c:pt>
              </c:strCache>
            </c:strRef>
          </c:cat>
          <c:val>
            <c:numRef>
              <c:f>Comparison!$D$5:$D$9</c:f>
              <c:numCache>
                <c:formatCode>0.0000</c:formatCode>
                <c:ptCount val="5"/>
                <c:pt idx="0">
                  <c:v>0.998966666666667</c:v>
                </c:pt>
                <c:pt idx="1">
                  <c:v>0.9989</c:v>
                </c:pt>
                <c:pt idx="2">
                  <c:v>0.981633333333333</c:v>
                </c:pt>
                <c:pt idx="3">
                  <c:v>0.907333333333333</c:v>
                </c:pt>
                <c:pt idx="4">
                  <c:v>0.3003</c:v>
                </c:pt>
              </c:numCache>
            </c:numRef>
          </c:val>
        </c:ser>
        <c:ser>
          <c:idx val="3"/>
          <c:order val="3"/>
          <c:tx>
            <c:strRef>
              <c:f>Comparison!E4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Comparison!$A$5:$A$9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Logistic Regression</c:v>
                </c:pt>
                <c:pt idx="3">
                  <c:v>Linear Discriminant Analysis</c:v>
                </c:pt>
                <c:pt idx="4">
                  <c:v>Gaussian Naive Bayes</c:v>
                </c:pt>
              </c:strCache>
            </c:strRef>
          </c:cat>
          <c:val>
            <c:numRef>
              <c:f>Comparison!$E$5:$E$9</c:f>
              <c:numCache>
                <c:formatCode>0.0000</c:formatCode>
                <c:ptCount val="5"/>
                <c:pt idx="0">
                  <c:v>0.998966666666667</c:v>
                </c:pt>
                <c:pt idx="1">
                  <c:v>0.998833333333333</c:v>
                </c:pt>
                <c:pt idx="2">
                  <c:v>0.980333333333333</c:v>
                </c:pt>
                <c:pt idx="3">
                  <c:v>0.921833333333333</c:v>
                </c:pt>
                <c:pt idx="4">
                  <c:v>0.3956</c:v>
                </c:pt>
              </c:numCache>
            </c:numRef>
          </c:val>
        </c:ser>
        <c:gapWidth val="150"/>
        <c:overlap val="0"/>
        <c:axId val="63060372"/>
        <c:axId val="97820281"/>
      </c:barChart>
      <c:catAx>
        <c:axId val="630603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20281"/>
        <c:crosses val="autoZero"/>
        <c:auto val="1"/>
        <c:lblAlgn val="ctr"/>
        <c:lblOffset val="100"/>
        <c:noMultiLvlLbl val="0"/>
      </c:catAx>
      <c:valAx>
        <c:axId val="9782028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60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Macro metrics by algorithm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Comparison!B14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Comparison!$A$15:$A$19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Logistic Regression</c:v>
                </c:pt>
                <c:pt idx="3">
                  <c:v>Linear Discriminant Analysis</c:v>
                </c:pt>
                <c:pt idx="4">
                  <c:v>Gaussian Naive Bayes</c:v>
                </c:pt>
              </c:strCache>
            </c:strRef>
          </c:cat>
          <c:val>
            <c:numRef>
              <c:f>Comparison!$B$15:$B$19</c:f>
              <c:numCache>
                <c:formatCode>0.0000</c:formatCode>
                <c:ptCount val="5"/>
                <c:pt idx="0">
                  <c:v>0.998966666666667</c:v>
                </c:pt>
                <c:pt idx="1">
                  <c:v>0.9989</c:v>
                </c:pt>
                <c:pt idx="2">
                  <c:v>0.981633333333333</c:v>
                </c:pt>
                <c:pt idx="3">
                  <c:v>0.907333333333333</c:v>
                </c:pt>
                <c:pt idx="4">
                  <c:v>0.3003</c:v>
                </c:pt>
              </c:numCache>
            </c:numRef>
          </c:val>
        </c:ser>
        <c:ser>
          <c:idx val="1"/>
          <c:order val="1"/>
          <c:tx>
            <c:strRef>
              <c:f>Comparison!C14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Comparison!$A$15:$A$19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Logistic Regression</c:v>
                </c:pt>
                <c:pt idx="3">
                  <c:v>Linear Discriminant Analysis</c:v>
                </c:pt>
                <c:pt idx="4">
                  <c:v>Gaussian Naive Bayes</c:v>
                </c:pt>
              </c:strCache>
            </c:strRef>
          </c:cat>
          <c:val>
            <c:numRef>
              <c:f>Comparison!$C$15:$C$19</c:f>
              <c:numCache>
                <c:formatCode>0.0000</c:formatCode>
                <c:ptCount val="5"/>
                <c:pt idx="0">
                  <c:v>0.872933333333333</c:v>
                </c:pt>
                <c:pt idx="1">
                  <c:v>0.896033333333333</c:v>
                </c:pt>
                <c:pt idx="2">
                  <c:v>0.708166666666667</c:v>
                </c:pt>
                <c:pt idx="3">
                  <c:v>0.4288</c:v>
                </c:pt>
                <c:pt idx="4">
                  <c:v>0.2814</c:v>
                </c:pt>
              </c:numCache>
            </c:numRef>
          </c:val>
        </c:ser>
        <c:ser>
          <c:idx val="2"/>
          <c:order val="2"/>
          <c:tx>
            <c:strRef>
              <c:f>Comparison!D14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Comparison!$A$15:$A$19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Logistic Regression</c:v>
                </c:pt>
                <c:pt idx="3">
                  <c:v>Linear Discriminant Analysis</c:v>
                </c:pt>
                <c:pt idx="4">
                  <c:v>Gaussian Naive Bayes</c:v>
                </c:pt>
              </c:strCache>
            </c:strRef>
          </c:cat>
          <c:val>
            <c:numRef>
              <c:f>Comparison!$D$15:$D$19</c:f>
              <c:numCache>
                <c:formatCode>0.0000</c:formatCode>
                <c:ptCount val="5"/>
                <c:pt idx="0">
                  <c:v>0.849</c:v>
                </c:pt>
                <c:pt idx="1">
                  <c:v>0.8272</c:v>
                </c:pt>
                <c:pt idx="2">
                  <c:v>0.6267</c:v>
                </c:pt>
                <c:pt idx="3">
                  <c:v>0.658966666666667</c:v>
                </c:pt>
                <c:pt idx="4">
                  <c:v>0.617766666666667</c:v>
                </c:pt>
              </c:numCache>
            </c:numRef>
          </c:val>
        </c:ser>
        <c:ser>
          <c:idx val="3"/>
          <c:order val="3"/>
          <c:tx>
            <c:strRef>
              <c:f>Comparison!E14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Comparison!$A$15:$A$19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Logistic Regression</c:v>
                </c:pt>
                <c:pt idx="3">
                  <c:v>Linear Discriminant Analysis</c:v>
                </c:pt>
                <c:pt idx="4">
                  <c:v>Gaussian Naive Bayes</c:v>
                </c:pt>
              </c:strCache>
            </c:strRef>
          </c:cat>
          <c:val>
            <c:numRef>
              <c:f>Comparison!$E$15:$E$19</c:f>
              <c:numCache>
                <c:formatCode>0.0000</c:formatCode>
                <c:ptCount val="5"/>
                <c:pt idx="0">
                  <c:v>0.857266666666667</c:v>
                </c:pt>
                <c:pt idx="1">
                  <c:v>0.841833333333333</c:v>
                </c:pt>
                <c:pt idx="2">
                  <c:v>0.646766666666667</c:v>
                </c:pt>
                <c:pt idx="3">
                  <c:v>0.453766666666667</c:v>
                </c:pt>
                <c:pt idx="4">
                  <c:v>0.2177</c:v>
                </c:pt>
              </c:numCache>
            </c:numRef>
          </c:val>
        </c:ser>
        <c:gapWidth val="150"/>
        <c:overlap val="0"/>
        <c:axId val="62605622"/>
        <c:axId val="54674590"/>
      </c:barChart>
      <c:catAx>
        <c:axId val="626056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74590"/>
        <c:crosses val="autoZero"/>
        <c:auto val="1"/>
        <c:lblAlgn val="ctr"/>
        <c:lblOffset val="100"/>
        <c:noMultiLvlLbl val="0"/>
      </c:catAx>
      <c:valAx>
        <c:axId val="5467459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056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160560</xdr:rowOff>
    </xdr:from>
    <xdr:to>
      <xdr:col>4</xdr:col>
      <xdr:colOff>1011960</xdr:colOff>
      <xdr:row>38</xdr:row>
      <xdr:rowOff>162000</xdr:rowOff>
    </xdr:to>
    <xdr:graphicFrame>
      <xdr:nvGraphicFramePr>
        <xdr:cNvPr id="0" name="Chart 1"/>
        <xdr:cNvGraphicFramePr/>
      </xdr:nvGraphicFramePr>
      <xdr:xfrm>
        <a:off x="0" y="4362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40</xdr:row>
      <xdr:rowOff>160560</xdr:rowOff>
    </xdr:from>
    <xdr:to>
      <xdr:col>4</xdr:col>
      <xdr:colOff>1011960</xdr:colOff>
      <xdr:row>57</xdr:row>
      <xdr:rowOff>161640</xdr:rowOff>
    </xdr:to>
    <xdr:graphicFrame>
      <xdr:nvGraphicFramePr>
        <xdr:cNvPr id="1" name="Chart 2"/>
        <xdr:cNvGraphicFramePr/>
      </xdr:nvGraphicFramePr>
      <xdr:xfrm>
        <a:off x="0" y="79819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0.3</v>
      </c>
      <c r="C5" s="6" t="n">
        <v>0.999</v>
      </c>
      <c r="D5" s="6" t="n">
        <v>0.999</v>
      </c>
      <c r="E5" s="6" t="n">
        <v>0.999</v>
      </c>
      <c r="F5" s="6" t="n">
        <v>0.999</v>
      </c>
      <c r="G5" s="6" t="n">
        <v>0.8704</v>
      </c>
      <c r="H5" s="6" t="n">
        <v>0.8662</v>
      </c>
      <c r="I5" s="6" t="n">
        <v>0.8679</v>
      </c>
    </row>
    <row r="6" customFormat="false" ht="15" hidden="false" customHeight="false" outlineLevel="0" collapsed="false">
      <c r="A6" s="4" t="s">
        <v>11</v>
      </c>
      <c r="B6" s="5" t="n">
        <v>0.5</v>
      </c>
      <c r="C6" s="6" t="n">
        <v>0.999</v>
      </c>
      <c r="D6" s="6" t="n">
        <v>0.999</v>
      </c>
      <c r="E6" s="6" t="n">
        <v>0.999</v>
      </c>
      <c r="F6" s="6" t="n">
        <v>0.999</v>
      </c>
      <c r="G6" s="6" t="n">
        <v>0.8646</v>
      </c>
      <c r="H6" s="6" t="n">
        <v>0.8438</v>
      </c>
      <c r="I6" s="6" t="n">
        <v>0.853</v>
      </c>
    </row>
    <row r="7" customFormat="false" ht="15" hidden="false" customHeight="false" outlineLevel="0" collapsed="false">
      <c r="A7" s="4" t="s">
        <v>11</v>
      </c>
      <c r="B7" s="5" t="n">
        <v>0.7</v>
      </c>
      <c r="C7" s="6" t="n">
        <v>0.9989</v>
      </c>
      <c r="D7" s="6" t="n">
        <v>0.9989</v>
      </c>
      <c r="E7" s="6" t="n">
        <v>0.9989</v>
      </c>
      <c r="F7" s="6" t="n">
        <v>0.9989</v>
      </c>
      <c r="G7" s="6" t="n">
        <v>0.8838</v>
      </c>
      <c r="H7" s="6" t="n">
        <v>0.837</v>
      </c>
      <c r="I7" s="6" t="n">
        <v>0.8509</v>
      </c>
    </row>
    <row r="8" customFormat="false" ht="15" hidden="false" customHeight="false" outlineLevel="0" collapsed="false">
      <c r="A8" s="4" t="s">
        <v>12</v>
      </c>
      <c r="B8" s="5" t="n">
        <v>0.3</v>
      </c>
      <c r="C8" s="6" t="n">
        <v>0.9056</v>
      </c>
      <c r="D8" s="6" t="n">
        <v>0.9412</v>
      </c>
      <c r="E8" s="6" t="n">
        <v>0.9056</v>
      </c>
      <c r="F8" s="6" t="n">
        <v>0.9204</v>
      </c>
      <c r="G8" s="6" t="n">
        <v>0.4258</v>
      </c>
      <c r="H8" s="6" t="n">
        <v>0.6594</v>
      </c>
      <c r="I8" s="6" t="n">
        <v>0.4504</v>
      </c>
    </row>
    <row r="9" customFormat="false" ht="15" hidden="false" customHeight="false" outlineLevel="0" collapsed="false">
      <c r="A9" s="4" t="s">
        <v>12</v>
      </c>
      <c r="B9" s="5" t="n">
        <v>0.5</v>
      </c>
      <c r="C9" s="6" t="n">
        <v>0.9076</v>
      </c>
      <c r="D9" s="6" t="n">
        <v>0.9428</v>
      </c>
      <c r="E9" s="6" t="n">
        <v>0.9076</v>
      </c>
      <c r="F9" s="6" t="n">
        <v>0.9222</v>
      </c>
      <c r="G9" s="6" t="n">
        <v>0.431</v>
      </c>
      <c r="H9" s="6" t="n">
        <v>0.6706</v>
      </c>
      <c r="I9" s="6" t="n">
        <v>0.4561</v>
      </c>
    </row>
    <row r="10" customFormat="false" ht="15" hidden="false" customHeight="false" outlineLevel="0" collapsed="false">
      <c r="A10" s="4" t="s">
        <v>12</v>
      </c>
      <c r="B10" s="5" t="n">
        <v>0.7</v>
      </c>
      <c r="C10" s="6" t="n">
        <v>0.9088</v>
      </c>
      <c r="D10" s="6" t="n">
        <v>0.9427</v>
      </c>
      <c r="E10" s="6" t="n">
        <v>0.9088</v>
      </c>
      <c r="F10" s="6" t="n">
        <v>0.9229</v>
      </c>
      <c r="G10" s="6" t="n">
        <v>0.4296</v>
      </c>
      <c r="H10" s="6" t="n">
        <v>0.6469</v>
      </c>
      <c r="I10" s="6" t="n">
        <v>0.4548</v>
      </c>
    </row>
    <row r="11" customFormat="false" ht="15" hidden="false" customHeight="false" outlineLevel="0" collapsed="false">
      <c r="A11" s="4" t="s">
        <v>13</v>
      </c>
      <c r="B11" s="5" t="n">
        <v>0.3</v>
      </c>
      <c r="C11" s="6" t="n">
        <v>0.9821</v>
      </c>
      <c r="D11" s="6" t="n">
        <v>0.9811</v>
      </c>
      <c r="E11" s="6" t="n">
        <v>0.9821</v>
      </c>
      <c r="F11" s="6" t="n">
        <v>0.981</v>
      </c>
      <c r="G11" s="6" t="n">
        <v>0.749</v>
      </c>
      <c r="H11" s="6" t="n">
        <v>0.6429</v>
      </c>
      <c r="I11" s="6" t="n">
        <v>0.6598</v>
      </c>
    </row>
    <row r="12" customFormat="false" ht="15" hidden="false" customHeight="false" outlineLevel="0" collapsed="false">
      <c r="A12" s="4" t="s">
        <v>13</v>
      </c>
      <c r="B12" s="5" t="n">
        <v>0.5</v>
      </c>
      <c r="C12" s="6" t="n">
        <v>0.9817</v>
      </c>
      <c r="D12" s="6" t="n">
        <v>0.9803</v>
      </c>
      <c r="E12" s="6" t="n">
        <v>0.9817</v>
      </c>
      <c r="F12" s="6" t="n">
        <v>0.9803</v>
      </c>
      <c r="G12" s="6" t="n">
        <v>0.697</v>
      </c>
      <c r="H12" s="6" t="n">
        <v>0.6202</v>
      </c>
      <c r="I12" s="6" t="n">
        <v>0.6442</v>
      </c>
    </row>
    <row r="13" customFormat="false" ht="15" hidden="false" customHeight="false" outlineLevel="0" collapsed="false">
      <c r="A13" s="4" t="s">
        <v>13</v>
      </c>
      <c r="B13" s="5" t="n">
        <v>0.7</v>
      </c>
      <c r="C13" s="6" t="n">
        <v>0.9811</v>
      </c>
      <c r="D13" s="6" t="n">
        <v>0.9797</v>
      </c>
      <c r="E13" s="6" t="n">
        <v>0.9811</v>
      </c>
      <c r="F13" s="6" t="n">
        <v>0.9797</v>
      </c>
      <c r="G13" s="6" t="n">
        <v>0.6785</v>
      </c>
      <c r="H13" s="6" t="n">
        <v>0.617</v>
      </c>
      <c r="I13" s="6" t="n">
        <v>0.6363</v>
      </c>
    </row>
    <row r="14" customFormat="false" ht="15" hidden="false" customHeight="false" outlineLevel="0" collapsed="false">
      <c r="A14" s="4" t="s">
        <v>14</v>
      </c>
      <c r="B14" s="5" t="n">
        <v>0.3</v>
      </c>
      <c r="C14" s="6" t="n">
        <v>0.3015</v>
      </c>
      <c r="D14" s="6" t="n">
        <v>0.9327</v>
      </c>
      <c r="E14" s="6" t="n">
        <v>0.3015</v>
      </c>
      <c r="F14" s="6" t="n">
        <v>0.3973</v>
      </c>
      <c r="G14" s="6" t="n">
        <v>0.2844</v>
      </c>
      <c r="H14" s="6" t="n">
        <v>0.6078</v>
      </c>
      <c r="I14" s="6" t="n">
        <v>0.2264</v>
      </c>
    </row>
    <row r="15" customFormat="false" ht="15" hidden="false" customHeight="false" outlineLevel="0" collapsed="false">
      <c r="A15" s="4" t="s">
        <v>14</v>
      </c>
      <c r="B15" s="5" t="n">
        <v>0.5</v>
      </c>
      <c r="C15" s="6" t="n">
        <v>0.2991</v>
      </c>
      <c r="D15" s="6" t="n">
        <v>0.9407</v>
      </c>
      <c r="E15" s="6" t="n">
        <v>0.2991</v>
      </c>
      <c r="F15" s="6" t="n">
        <v>0.3977</v>
      </c>
      <c r="G15" s="6" t="n">
        <v>0.2844</v>
      </c>
      <c r="H15" s="6" t="n">
        <v>0.6142</v>
      </c>
      <c r="I15" s="6" t="n">
        <v>0.2091</v>
      </c>
    </row>
    <row r="16" customFormat="false" ht="15" hidden="false" customHeight="false" outlineLevel="0" collapsed="false">
      <c r="A16" s="4" t="s">
        <v>14</v>
      </c>
      <c r="B16" s="5" t="n">
        <v>0.7</v>
      </c>
      <c r="C16" s="6" t="n">
        <v>0.3003</v>
      </c>
      <c r="D16" s="6" t="n">
        <v>0.9192</v>
      </c>
      <c r="E16" s="6" t="n">
        <v>0.3003</v>
      </c>
      <c r="F16" s="6" t="n">
        <v>0.3918</v>
      </c>
      <c r="G16" s="6" t="n">
        <v>0.2754</v>
      </c>
      <c r="H16" s="6" t="n">
        <v>0.6313</v>
      </c>
      <c r="I16" s="6" t="n">
        <v>0.2176</v>
      </c>
    </row>
    <row r="17" customFormat="false" ht="15" hidden="false" customHeight="false" outlineLevel="0" collapsed="false">
      <c r="A17" s="4" t="s">
        <v>15</v>
      </c>
      <c r="B17" s="5" t="n">
        <v>0.3</v>
      </c>
      <c r="C17" s="6" t="n">
        <v>0.9989</v>
      </c>
      <c r="D17" s="6" t="n">
        <v>0.9989</v>
      </c>
      <c r="E17" s="6" t="n">
        <v>0.9989</v>
      </c>
      <c r="F17" s="6" t="n">
        <v>0.9989</v>
      </c>
      <c r="G17" s="6" t="n">
        <v>0.8854</v>
      </c>
      <c r="H17" s="6" t="n">
        <v>0.8224</v>
      </c>
      <c r="I17" s="6" t="n">
        <v>0.845</v>
      </c>
    </row>
    <row r="18" customFormat="false" ht="15" hidden="false" customHeight="false" outlineLevel="0" collapsed="false">
      <c r="A18" s="4" t="s">
        <v>15</v>
      </c>
      <c r="B18" s="5" t="n">
        <v>0.5</v>
      </c>
      <c r="C18" s="6" t="n">
        <v>0.999</v>
      </c>
      <c r="D18" s="6" t="n">
        <v>0.9989</v>
      </c>
      <c r="E18" s="6" t="n">
        <v>0.999</v>
      </c>
      <c r="F18" s="6" t="n">
        <v>0.9989</v>
      </c>
      <c r="G18" s="6" t="n">
        <v>0.9256</v>
      </c>
      <c r="H18" s="6" t="n">
        <v>0.8387</v>
      </c>
      <c r="I18" s="6" t="n">
        <v>0.8479</v>
      </c>
    </row>
    <row r="19" customFormat="false" ht="15" hidden="false" customHeight="false" outlineLevel="0" collapsed="false">
      <c r="A19" s="4" t="s">
        <v>15</v>
      </c>
      <c r="B19" s="5" t="n">
        <v>0.7</v>
      </c>
      <c r="C19" s="6" t="n">
        <v>0.9988</v>
      </c>
      <c r="D19" s="6" t="n">
        <v>0.9987</v>
      </c>
      <c r="E19" s="6" t="n">
        <v>0.9988</v>
      </c>
      <c r="F19" s="6" t="n">
        <v>0.9987</v>
      </c>
      <c r="G19" s="6" t="n">
        <v>0.8771</v>
      </c>
      <c r="H19" s="6" t="n">
        <v>0.8205</v>
      </c>
      <c r="I19" s="6" t="n">
        <v>0.8326</v>
      </c>
    </row>
    <row r="21" customFormat="false" ht="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17</v>
      </c>
    </row>
    <row r="3" customFormat="false" ht="15" hidden="false" customHeight="false" outlineLevel="0" collapsed="false">
      <c r="A3" s="7" t="s">
        <v>18</v>
      </c>
    </row>
    <row r="4" customFormat="false" ht="21.75" hidden="false" customHeight="true" outlineLevel="0" collapsed="false">
      <c r="A4" s="3" t="s">
        <v>2</v>
      </c>
      <c r="B4" s="3" t="s">
        <v>4</v>
      </c>
      <c r="C4" s="3" t="s">
        <v>19</v>
      </c>
      <c r="D4" s="3" t="s">
        <v>20</v>
      </c>
      <c r="E4" s="3" t="s">
        <v>21</v>
      </c>
    </row>
    <row r="5" customFormat="false" ht="15" hidden="false" customHeight="false" outlineLevel="0" collapsed="false">
      <c r="A5" s="4" t="s">
        <v>11</v>
      </c>
      <c r="B5" s="8" t="n">
        <f aca="false">AVERAGEIFS(Results!$C$5:$C$19,Results!$A$5:$A$19,$A5)</f>
        <v>0.998966666666667</v>
      </c>
      <c r="C5" s="8" t="n">
        <f aca="false">AVERAGEIFS(Results!$D$5:$D$19,Results!$A$5:$A$19,$A5)</f>
        <v>0.998966666666667</v>
      </c>
      <c r="D5" s="8" t="n">
        <f aca="false">AVERAGEIFS(Results!$E$5:$E$19,Results!$A$5:$A$19,$A5)</f>
        <v>0.998966666666667</v>
      </c>
      <c r="E5" s="8" t="n">
        <f aca="false">AVERAGEIFS(Results!$F$5:$F$19,Results!$A$5:$A$19,$A5)</f>
        <v>0.998966666666667</v>
      </c>
    </row>
    <row r="6" customFormat="false" ht="15" hidden="false" customHeight="false" outlineLevel="0" collapsed="false">
      <c r="A6" s="4" t="s">
        <v>15</v>
      </c>
      <c r="B6" s="8" t="n">
        <f aca="false">AVERAGEIFS(Results!$C$5:$C$19,Results!$A$5:$A$19,$A6)</f>
        <v>0.9989</v>
      </c>
      <c r="C6" s="8" t="n">
        <f aca="false">AVERAGEIFS(Results!$D$5:$D$19,Results!$A$5:$A$19,$A6)</f>
        <v>0.998833333333333</v>
      </c>
      <c r="D6" s="8" t="n">
        <f aca="false">AVERAGEIFS(Results!$E$5:$E$19,Results!$A$5:$A$19,$A6)</f>
        <v>0.9989</v>
      </c>
      <c r="E6" s="8" t="n">
        <f aca="false">AVERAGEIFS(Results!$F$5:$F$19,Results!$A$5:$A$19,$A6)</f>
        <v>0.998833333333333</v>
      </c>
    </row>
    <row r="7" customFormat="false" ht="15" hidden="false" customHeight="false" outlineLevel="0" collapsed="false">
      <c r="A7" s="4" t="s">
        <v>13</v>
      </c>
      <c r="B7" s="8" t="n">
        <f aca="false">AVERAGEIFS(Results!$C$5:$C$19,Results!$A$5:$A$19,$A7)</f>
        <v>0.981633333333333</v>
      </c>
      <c r="C7" s="8" t="n">
        <f aca="false">AVERAGEIFS(Results!$D$5:$D$19,Results!$A$5:$A$19,$A7)</f>
        <v>0.980366666666667</v>
      </c>
      <c r="D7" s="8" t="n">
        <f aca="false">AVERAGEIFS(Results!$E$5:$E$19,Results!$A$5:$A$19,$A7)</f>
        <v>0.981633333333333</v>
      </c>
      <c r="E7" s="8" t="n">
        <f aca="false">AVERAGEIFS(Results!$F$5:$F$19,Results!$A$5:$A$19,$A7)</f>
        <v>0.980333333333333</v>
      </c>
    </row>
    <row r="8" customFormat="false" ht="15" hidden="false" customHeight="false" outlineLevel="0" collapsed="false">
      <c r="A8" s="4" t="s">
        <v>12</v>
      </c>
      <c r="B8" s="8" t="n">
        <f aca="false">AVERAGEIFS(Results!$C$5:$C$19,Results!$A$5:$A$19,$A8)</f>
        <v>0.907333333333333</v>
      </c>
      <c r="C8" s="8" t="n">
        <f aca="false">AVERAGEIFS(Results!$D$5:$D$19,Results!$A$5:$A$19,$A8)</f>
        <v>0.942233333333333</v>
      </c>
      <c r="D8" s="8" t="n">
        <f aca="false">AVERAGEIFS(Results!$E$5:$E$19,Results!$A$5:$A$19,$A8)</f>
        <v>0.907333333333333</v>
      </c>
      <c r="E8" s="8" t="n">
        <f aca="false">AVERAGEIFS(Results!$F$5:$F$19,Results!$A$5:$A$19,$A8)</f>
        <v>0.921833333333333</v>
      </c>
    </row>
    <row r="9" customFormat="false" ht="15" hidden="false" customHeight="false" outlineLevel="0" collapsed="false">
      <c r="A9" s="4" t="s">
        <v>14</v>
      </c>
      <c r="B9" s="8" t="n">
        <f aca="false">AVERAGEIFS(Results!$C$5:$C$19,Results!$A$5:$A$19,$A9)</f>
        <v>0.3003</v>
      </c>
      <c r="C9" s="8" t="n">
        <f aca="false">AVERAGEIFS(Results!$D$5:$D$19,Results!$A$5:$A$19,$A9)</f>
        <v>0.930866666666667</v>
      </c>
      <c r="D9" s="8" t="n">
        <f aca="false">AVERAGEIFS(Results!$E$5:$E$19,Results!$A$5:$A$19,$A9)</f>
        <v>0.3003</v>
      </c>
      <c r="E9" s="8" t="n">
        <f aca="false">AVERAGEIFS(Results!$F$5:$F$19,Results!$A$5:$A$19,$A9)</f>
        <v>0.3956</v>
      </c>
    </row>
    <row r="10" customFormat="false" ht="15" hidden="false" customHeight="false" outlineLevel="0" collapsed="false">
      <c r="A10" s="9" t="s">
        <v>22</v>
      </c>
      <c r="B10" s="10" t="str">
        <f aca="false">INDEX($A$5:$A$9,MATCH(MAX(B5:B9),B5:B9,0))</f>
        <v>Decision Tree</v>
      </c>
      <c r="C10" s="10" t="str">
        <f aca="false">INDEX($A$5:$A$9,MATCH(MAX(C5:C9),C5:C9,0))</f>
        <v>Decision Tree</v>
      </c>
      <c r="D10" s="10" t="str">
        <f aca="false">INDEX($A$5:$A$9,MATCH(MAX(D5:D9),D5:D9,0))</f>
        <v>Decision Tree</v>
      </c>
      <c r="E10" s="10" t="str">
        <f aca="false">INDEX($A$5:$A$9,MATCH(MAX(E5:E9),E5:E9,0))</f>
        <v>Decision Tree</v>
      </c>
    </row>
    <row r="13" customFormat="false" ht="15" hidden="false" customHeight="false" outlineLevel="0" collapsed="false">
      <c r="A13" s="7" t="s">
        <v>23</v>
      </c>
    </row>
    <row r="14" customFormat="false" ht="21.75" hidden="false" customHeight="true" outlineLevel="0" collapsed="false">
      <c r="A14" s="3" t="s">
        <v>2</v>
      </c>
      <c r="B14" s="3" t="s">
        <v>4</v>
      </c>
      <c r="C14" s="3" t="s">
        <v>19</v>
      </c>
      <c r="D14" s="3" t="s">
        <v>20</v>
      </c>
      <c r="E14" s="3" t="s">
        <v>21</v>
      </c>
    </row>
    <row r="15" customFormat="false" ht="15" hidden="false" customHeight="false" outlineLevel="0" collapsed="false">
      <c r="A15" s="4" t="s">
        <v>11</v>
      </c>
      <c r="B15" s="8" t="n">
        <f aca="false">AVERAGEIFS(Results!$C$5:$C$19,Results!$A$5:$A$19,$A15)</f>
        <v>0.998966666666667</v>
      </c>
      <c r="C15" s="8" t="n">
        <f aca="false">AVERAGEIFS(Results!$G$5:$G$19,Results!$A$5:$A$19,$A15)</f>
        <v>0.872933333333333</v>
      </c>
      <c r="D15" s="8" t="n">
        <f aca="false">AVERAGEIFS(Results!$H$5:$H$19,Results!$A$5:$A$19,$A15)</f>
        <v>0.849</v>
      </c>
      <c r="E15" s="8" t="n">
        <f aca="false">AVERAGEIFS(Results!$I$5:$I$19,Results!$A$5:$A$19,$A15)</f>
        <v>0.857266666666667</v>
      </c>
    </row>
    <row r="16" customFormat="false" ht="15" hidden="false" customHeight="false" outlineLevel="0" collapsed="false">
      <c r="A16" s="4" t="s">
        <v>15</v>
      </c>
      <c r="B16" s="8" t="n">
        <f aca="false">AVERAGEIFS(Results!$C$5:$C$19,Results!$A$5:$A$19,$A16)</f>
        <v>0.9989</v>
      </c>
      <c r="C16" s="8" t="n">
        <f aca="false">AVERAGEIFS(Results!$G$5:$G$19,Results!$A$5:$A$19,$A16)</f>
        <v>0.896033333333333</v>
      </c>
      <c r="D16" s="8" t="n">
        <f aca="false">AVERAGEIFS(Results!$H$5:$H$19,Results!$A$5:$A$19,$A16)</f>
        <v>0.8272</v>
      </c>
      <c r="E16" s="8" t="n">
        <f aca="false">AVERAGEIFS(Results!$I$5:$I$19,Results!$A$5:$A$19,$A16)</f>
        <v>0.841833333333333</v>
      </c>
    </row>
    <row r="17" customFormat="false" ht="15" hidden="false" customHeight="false" outlineLevel="0" collapsed="false">
      <c r="A17" s="4" t="s">
        <v>13</v>
      </c>
      <c r="B17" s="8" t="n">
        <f aca="false">AVERAGEIFS(Results!$C$5:$C$19,Results!$A$5:$A$19,$A17)</f>
        <v>0.981633333333333</v>
      </c>
      <c r="C17" s="8" t="n">
        <f aca="false">AVERAGEIFS(Results!$G$5:$G$19,Results!$A$5:$A$19,$A17)</f>
        <v>0.708166666666667</v>
      </c>
      <c r="D17" s="8" t="n">
        <f aca="false">AVERAGEIFS(Results!$H$5:$H$19,Results!$A$5:$A$19,$A17)</f>
        <v>0.6267</v>
      </c>
      <c r="E17" s="8" t="n">
        <f aca="false">AVERAGEIFS(Results!$I$5:$I$19,Results!$A$5:$A$19,$A17)</f>
        <v>0.646766666666667</v>
      </c>
    </row>
    <row r="18" customFormat="false" ht="15" hidden="false" customHeight="false" outlineLevel="0" collapsed="false">
      <c r="A18" s="4" t="s">
        <v>12</v>
      </c>
      <c r="B18" s="8" t="n">
        <f aca="false">AVERAGEIFS(Results!$C$5:$C$19,Results!$A$5:$A$19,$A18)</f>
        <v>0.907333333333333</v>
      </c>
      <c r="C18" s="8" t="n">
        <f aca="false">AVERAGEIFS(Results!$G$5:$G$19,Results!$A$5:$A$19,$A18)</f>
        <v>0.4288</v>
      </c>
      <c r="D18" s="8" t="n">
        <f aca="false">AVERAGEIFS(Results!$H$5:$H$19,Results!$A$5:$A$19,$A18)</f>
        <v>0.658966666666667</v>
      </c>
      <c r="E18" s="8" t="n">
        <f aca="false">AVERAGEIFS(Results!$I$5:$I$19,Results!$A$5:$A$19,$A18)</f>
        <v>0.453766666666667</v>
      </c>
    </row>
    <row r="19" customFormat="false" ht="15" hidden="false" customHeight="false" outlineLevel="0" collapsed="false">
      <c r="A19" s="4" t="s">
        <v>14</v>
      </c>
      <c r="B19" s="8" t="n">
        <f aca="false">AVERAGEIFS(Results!$C$5:$C$19,Results!$A$5:$A$19,$A19)</f>
        <v>0.3003</v>
      </c>
      <c r="C19" s="8" t="n">
        <f aca="false">AVERAGEIFS(Results!$G$5:$G$19,Results!$A$5:$A$19,$A19)</f>
        <v>0.2814</v>
      </c>
      <c r="D19" s="8" t="n">
        <f aca="false">AVERAGEIFS(Results!$H$5:$H$19,Results!$A$5:$A$19,$A19)</f>
        <v>0.617766666666667</v>
      </c>
      <c r="E19" s="8" t="n">
        <f aca="false">AVERAGEIFS(Results!$I$5:$I$19,Results!$A$5:$A$19,$A19)</f>
        <v>0.2177</v>
      </c>
    </row>
    <row r="20" customFormat="false" ht="15" hidden="false" customHeight="false" outlineLevel="0" collapsed="false">
      <c r="A20" s="9" t="s">
        <v>22</v>
      </c>
      <c r="B20" s="10" t="str">
        <f aca="false">INDEX($A$15:$A$19,MATCH(MAX(B15:B19),B15:B19,0))</f>
        <v>Decision Tree</v>
      </c>
      <c r="C20" s="10" t="str">
        <f aca="false">INDEX($A$15:$A$19,MATCH(MAX(C15:C19),C15:C19,0))</f>
        <v>Random Forest</v>
      </c>
      <c r="D20" s="10" t="str">
        <f aca="false">INDEX($A$15:$A$19,MATCH(MAX(D15:D19),D15:D19,0))</f>
        <v>Decision Tree</v>
      </c>
      <c r="E20" s="10" t="str">
        <f aca="false">INDEX($A$15:$A$19,MATCH(MAX(E15:E19),E15:E19,0))</f>
        <v>Decision Tree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2026-10-17T09:17:04Z</dcterms:created>
  <dc:creator>openpyxl</dc:creator>
  <dc:description/>
  <dc:language>en-US</dc:language>
  <cp:lastModifiedBy/>
  <dcterms:modified xsi:type="dcterms:W3CDTF">2026-10-17T09:17:07Z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